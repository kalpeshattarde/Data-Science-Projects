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come Analysis" sheetId="2" state="visible" r:id="rId2"/>
    <sheet xmlns:r="http://schemas.openxmlformats.org/officeDocument/2006/relationships" name="Expenditure Analysis" sheetId="3" state="visible" r:id="rId3"/>
    <sheet xmlns:r="http://schemas.openxmlformats.org/officeDocument/2006/relationships" name="Balance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i val="1"/>
      <sz val="12"/>
    </font>
    <font>
      <b val="1"/>
      <color rgb="00FFFFFF"/>
      <sz val="14"/>
    </font>
    <font>
      <b val="1"/>
      <color rgb="00FFFFFF"/>
    </font>
    <font>
      <b val="1"/>
    </font>
    <font>
      <b val="1"/>
      <sz val="12"/>
    </font>
    <font>
      <b val="1"/>
      <color rgb="00FFFFFF"/>
      <sz val="12"/>
    </font>
  </fonts>
  <fills count="15">
    <fill>
      <patternFill/>
    </fill>
    <fill>
      <patternFill patternType="gray125"/>
    </fill>
    <fill>
      <patternFill patternType="solid">
        <fgColor rgb="001C3864"/>
        <bgColor rgb="001C3864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C55A11"/>
        <bgColor rgb="00C55A11"/>
      </patternFill>
    </fill>
    <fill>
      <patternFill patternType="solid">
        <fgColor rgb="00FFE699"/>
        <bgColor rgb="00FFE699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ED7D31"/>
        <bgColor rgb="00ED7D31"/>
      </patternFill>
    </fill>
    <fill>
      <patternFill patternType="solid">
        <fgColor rgb="00FCE4D6"/>
        <bgColor rgb="00FCE4D6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5" fillId="5" borderId="0" applyAlignment="1" pivotButton="0" quotePrefix="0" xfId="0">
      <alignment horizontal="left"/>
    </xf>
    <xf numFmtId="3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0" fontId="6" fillId="6" borderId="0" applyAlignment="1" pivotButton="0" quotePrefix="0" xfId="0">
      <alignment horizontal="left"/>
    </xf>
    <xf numFmtId="3" fontId="5" fillId="6" borderId="0" applyAlignment="1" pivotButton="0" quotePrefix="0" xfId="0">
      <alignment horizontal="right"/>
    </xf>
    <xf numFmtId="164" fontId="5" fillId="6" borderId="0" applyAlignment="1" pivotButton="0" quotePrefix="0" xfId="0">
      <alignment horizontal="right"/>
    </xf>
    <xf numFmtId="0" fontId="4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/>
    </xf>
    <xf numFmtId="3" fontId="5" fillId="8" borderId="0" applyAlignment="1" pivotButton="0" quotePrefix="0" xfId="0">
      <alignment horizontal="right"/>
    </xf>
    <xf numFmtId="164" fontId="5" fillId="8" borderId="0" applyAlignment="1" pivotButton="0" quotePrefix="0" xfId="0">
      <alignment horizontal="right"/>
    </xf>
    <xf numFmtId="0" fontId="7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5" fillId="11" borderId="0" applyAlignment="1" pivotButton="0" quotePrefix="0" xfId="0">
      <alignment horizontal="left"/>
    </xf>
    <xf numFmtId="3" fontId="5" fillId="11" borderId="0" applyAlignment="1" pivotButton="0" quotePrefix="0" xfId="0">
      <alignment horizontal="right"/>
    </xf>
    <xf numFmtId="0" fontId="7" fillId="12" borderId="0" applyAlignment="1" pivotButton="0" quotePrefix="0" xfId="0">
      <alignment horizontal="center"/>
    </xf>
    <xf numFmtId="0" fontId="5" fillId="13" borderId="0" applyAlignment="1" pivotButton="0" quotePrefix="0" xfId="0">
      <alignment horizontal="center"/>
    </xf>
    <xf numFmtId="0" fontId="5" fillId="14" borderId="0" applyAlignment="1" pivotButton="0" quotePrefix="0" xfId="0">
      <alignment horizontal="left"/>
    </xf>
    <xf numFmtId="3" fontId="5" fillId="1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TWARITA BAHUUDESHIY SAMAJIK SANSTHA</t>
        </is>
      </c>
    </row>
    <row r="2">
      <c r="A2" s="2" t="inlineStr">
        <is>
          <t>3-Year Financial Summary (2022-23 to 2024-25)</t>
        </is>
      </c>
    </row>
    <row r="4">
      <c r="A4" s="3" t="inlineStr">
        <is>
          <t>KEY FINANCIAL METRICS</t>
        </is>
      </c>
    </row>
    <row r="5">
      <c r="A5" s="4" t="inlineStr">
        <is>
          <t>Metric</t>
        </is>
      </c>
      <c r="B5" s="4" t="inlineStr">
        <is>
          <t>2022-23</t>
        </is>
      </c>
      <c r="C5" s="4" t="inlineStr">
        <is>
          <t>2023-24</t>
        </is>
      </c>
      <c r="D5" s="4" t="inlineStr">
        <is>
          <t>2024-25</t>
        </is>
      </c>
      <c r="E5" s="4" t="inlineStr">
        <is>
          <t>3-Year Total</t>
        </is>
      </c>
      <c r="F5" s="4" t="inlineStr">
        <is>
          <t>Average</t>
        </is>
      </c>
    </row>
    <row r="6">
      <c r="A6" s="5" t="inlineStr">
        <is>
          <t>Total Income (₹)</t>
        </is>
      </c>
      <c r="B6" s="6" t="n">
        <v>750110</v>
      </c>
      <c r="C6" s="6" t="n">
        <v>750110</v>
      </c>
      <c r="D6" s="6" t="n">
        <v>224160</v>
      </c>
      <c r="E6" s="6">
        <f>SUM(B6:D6)</f>
        <v/>
      </c>
      <c r="F6" s="6">
        <f>AVERAGE(B6:D6)</f>
        <v/>
      </c>
    </row>
    <row r="7">
      <c r="A7" s="5" t="inlineStr">
        <is>
          <t>Total Expenditure (₹)</t>
        </is>
      </c>
      <c r="B7" s="6" t="n">
        <v>750110</v>
      </c>
      <c r="C7" s="6" t="n">
        <v>621970</v>
      </c>
      <c r="D7" s="6" t="n">
        <v>224160</v>
      </c>
      <c r="E7" s="6">
        <f>SUM(B7:D7)</f>
        <v/>
      </c>
      <c r="F7" s="6">
        <f>AVERAGE(B7:D7)</f>
        <v/>
      </c>
    </row>
    <row r="8">
      <c r="A8" s="7" t="inlineStr">
        <is>
          <t>Surplus/(Deficit) (₹)</t>
        </is>
      </c>
      <c r="B8" s="8" t="n">
        <v>0</v>
      </c>
      <c r="C8" s="8" t="n">
        <v>128140</v>
      </c>
      <c r="D8" s="8" t="n">
        <v>0</v>
      </c>
      <c r="E8" s="8">
        <f>SUM(B8:D8)</f>
        <v/>
      </c>
      <c r="F8" s="8">
        <f>AVERAGE(B8:D8)</f>
        <v/>
      </c>
    </row>
    <row r="9">
      <c r="A9" s="5" t="inlineStr">
        <is>
          <t>Charitable Expenditure (₹)</t>
        </is>
      </c>
      <c r="B9" s="6" t="n">
        <v>367520</v>
      </c>
      <c r="C9" s="6" t="n">
        <v>131460</v>
      </c>
      <c r="D9" s="6" t="n">
        <v>131460</v>
      </c>
      <c r="E9" s="6">
        <f>SUM(B9:D9)</f>
        <v/>
      </c>
      <c r="F9" s="6">
        <f>AVERAGE(B9:D9)</f>
        <v/>
      </c>
    </row>
    <row r="10">
      <c r="A10" s="5" t="inlineStr"/>
      <c r="B10" s="9" t="inlineStr"/>
      <c r="C10" s="9" t="inlineStr"/>
      <c r="D10" s="9" t="inlineStr"/>
      <c r="E10" s="9" t="inlineStr"/>
      <c r="F10" s="9" t="inlineStr"/>
    </row>
    <row r="11">
      <c r="A11" s="5" t="inlineStr">
        <is>
          <t>Cash &amp; Bank Balance (₹)</t>
        </is>
      </c>
      <c r="B11" s="6" t="n">
        <v>128140</v>
      </c>
      <c r="C11" s="6" t="n">
        <v>128140</v>
      </c>
      <c r="D11" s="6" t="n">
        <v>20318</v>
      </c>
      <c r="E11" s="9" t="inlineStr"/>
      <c r="F11" s="9" t="inlineStr"/>
    </row>
    <row r="12">
      <c r="A12" s="5" t="inlineStr">
        <is>
          <t>Total Assets (₹)</t>
        </is>
      </c>
      <c r="B12" s="6" t="n">
        <v>128140</v>
      </c>
      <c r="C12" s="6" t="n">
        <v>154518</v>
      </c>
      <c r="D12" s="6" t="n">
        <v>154518</v>
      </c>
      <c r="E12" s="9" t="inlineStr"/>
      <c r="F12" s="9" t="inlineStr"/>
    </row>
    <row r="15">
      <c r="A15" s="3" t="inlineStr">
        <is>
          <t>ORGANIZATION DETAILS</t>
        </is>
      </c>
    </row>
    <row r="16">
      <c r="A16" s="10" t="inlineStr">
        <is>
          <t>Registration No:</t>
        </is>
      </c>
      <c r="B16" t="inlineStr">
        <is>
          <t>F/43886/THANE</t>
        </is>
      </c>
    </row>
    <row r="17">
      <c r="A17" s="10" t="inlineStr">
        <is>
          <t>PAN:</t>
        </is>
      </c>
      <c r="B17" t="inlineStr">
        <is>
          <t>AAETT2749P</t>
        </is>
      </c>
    </row>
    <row r="18">
      <c r="A18" s="10" t="inlineStr">
        <is>
          <t>Legal Status:</t>
        </is>
      </c>
      <c r="B18" t="inlineStr">
        <is>
          <t>Charitable Trust (Bombay Public Trusts Act, 1950)</t>
        </is>
      </c>
    </row>
    <row r="19">
      <c r="A19" s="10" t="inlineStr">
        <is>
          <t>Location:</t>
        </is>
      </c>
      <c r="B19" t="inlineStr">
        <is>
          <t>503, Krishna Kunj Soc, Kalyan, Maharashtra, 421301</t>
        </is>
      </c>
    </row>
    <row r="20">
      <c r="A20" s="10" t="inlineStr">
        <is>
          <t>Auditor:</t>
        </is>
      </c>
      <c r="B20" t="inlineStr">
        <is>
          <t>Haresh Ahuja &amp; Associates, Chartered Accountants</t>
        </is>
      </c>
    </row>
  </sheetData>
  <mergeCells count="9">
    <mergeCell ref="A2:F2"/>
    <mergeCell ref="B16:F16"/>
    <mergeCell ref="B20:F20"/>
    <mergeCell ref="A1:F1"/>
    <mergeCell ref="B18:F18"/>
    <mergeCell ref="B19:F19"/>
    <mergeCell ref="A4:F4"/>
    <mergeCell ref="B17:F17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 ht="25" customHeight="1">
      <c r="A1" s="11" t="inlineStr">
        <is>
          <t>INCOME ANALYSIS (3-YEAR COMPARISON)</t>
        </is>
      </c>
    </row>
    <row r="3">
      <c r="A3" s="12" t="inlineStr">
        <is>
          <t>Income Source</t>
        </is>
      </c>
      <c r="B3" s="12" t="inlineStr">
        <is>
          <t>2022-23 (₹)</t>
        </is>
      </c>
      <c r="C3" s="12" t="inlineStr">
        <is>
          <t>2023-24 (₹)</t>
        </is>
      </c>
      <c r="D3" s="12" t="inlineStr">
        <is>
          <t>2024-25 (₹)</t>
        </is>
      </c>
      <c r="E3" s="12" t="inlineStr">
        <is>
          <t>% Change (24-25 vs 23-24)</t>
        </is>
      </c>
    </row>
    <row r="4">
      <c r="A4" s="13" t="inlineStr">
        <is>
          <t>Donations (Cash/Kind)</t>
        </is>
      </c>
      <c r="B4" s="6" t="n">
        <v>750110</v>
      </c>
      <c r="C4" s="6" t="n">
        <v>750110</v>
      </c>
      <c r="D4" s="6" t="n">
        <v>120000</v>
      </c>
      <c r="E4" s="14">
        <f>(D4-C4)/C4*100</f>
        <v/>
      </c>
    </row>
    <row r="5">
      <c r="A5" s="13" t="inlineStr">
        <is>
          <t>Grants</t>
        </is>
      </c>
      <c r="B5" s="9" t="n">
        <v>0</v>
      </c>
      <c r="C5" s="9" t="n">
        <v>0</v>
      </c>
      <c r="D5" s="6" t="n">
        <v>7200</v>
      </c>
      <c r="E5" s="9" t="inlineStr"/>
    </row>
    <row r="6">
      <c r="A6" s="13" t="inlineStr">
        <is>
          <t>Interest</t>
        </is>
      </c>
      <c r="B6" s="9" t="n">
        <v>0</v>
      </c>
      <c r="C6" s="9" t="n">
        <v>0</v>
      </c>
      <c r="D6" s="9" t="n">
        <v>0</v>
      </c>
      <c r="E6" s="9" t="inlineStr"/>
    </row>
    <row r="7">
      <c r="A7" s="13" t="inlineStr">
        <is>
          <t>Dividend</t>
        </is>
      </c>
      <c r="B7" s="9" t="n">
        <v>0</v>
      </c>
      <c r="C7" s="9" t="n">
        <v>0</v>
      </c>
      <c r="D7" s="9" t="n">
        <v>0</v>
      </c>
      <c r="E7" s="9" t="inlineStr"/>
    </row>
    <row r="8">
      <c r="A8" s="13" t="inlineStr">
        <is>
          <t>Rent</t>
        </is>
      </c>
      <c r="B8" s="9" t="n">
        <v>0</v>
      </c>
      <c r="C8" s="9" t="n">
        <v>0</v>
      </c>
      <c r="D8" s="9" t="n">
        <v>0</v>
      </c>
      <c r="E8" s="9" t="inlineStr"/>
    </row>
    <row r="9">
      <c r="A9" s="13" t="inlineStr">
        <is>
          <t>Other Income</t>
        </is>
      </c>
      <c r="B9" s="9" t="n">
        <v>0</v>
      </c>
      <c r="C9" s="9" t="n">
        <v>0</v>
      </c>
      <c r="D9" s="6" t="n">
        <v>97000</v>
      </c>
      <c r="E9" s="9" t="inlineStr"/>
    </row>
    <row r="10">
      <c r="A10" s="13" t="inlineStr"/>
      <c r="B10" s="9" t="inlineStr"/>
      <c r="C10" s="9" t="inlineStr"/>
      <c r="D10" s="9" t="inlineStr"/>
      <c r="E10" s="9" t="inlineStr"/>
    </row>
    <row r="11">
      <c r="A11" s="15" t="inlineStr">
        <is>
          <t>TOTAL INCOME</t>
        </is>
      </c>
      <c r="B11" s="16">
        <f>SUM(B4:B9)</f>
        <v/>
      </c>
      <c r="C11" s="16">
        <f>SUM(C4:C9)</f>
        <v/>
      </c>
      <c r="D11" s="16">
        <f>SUM(D4:D9)</f>
        <v/>
      </c>
      <c r="E11" s="17">
        <f>(D11-C11)/C11*100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20" customWidth="1" min="5" max="5"/>
  </cols>
  <sheetData>
    <row r="1" ht="25" customHeight="1">
      <c r="A1" s="11" t="inlineStr">
        <is>
          <t>EXPENDITURE ANALYSIS (3-YEAR COMPARISON)</t>
        </is>
      </c>
    </row>
    <row r="3">
      <c r="A3" s="18" t="inlineStr">
        <is>
          <t>Expenditure Source</t>
        </is>
      </c>
      <c r="B3" s="18" t="inlineStr">
        <is>
          <t>2022-23 (₹)</t>
        </is>
      </c>
      <c r="C3" s="18" t="inlineStr">
        <is>
          <t>2023-24 (₹)</t>
        </is>
      </c>
      <c r="D3" s="18" t="inlineStr">
        <is>
          <t>2024-25 (₹)</t>
        </is>
      </c>
      <c r="E3" s="18" t="inlineStr">
        <is>
          <t>% Change (24-25 vs 23-24)</t>
        </is>
      </c>
    </row>
    <row r="4">
      <c r="A4" s="13" t="inlineStr">
        <is>
          <t>Establishment Expenses</t>
        </is>
      </c>
      <c r="B4" s="6" t="n">
        <v>250450</v>
      </c>
      <c r="C4" s="6" t="n">
        <v>250450</v>
      </c>
      <c r="D4" s="6" t="n">
        <v>41260</v>
      </c>
      <c r="E4" s="14">
        <f>(D4-C4)/C4*100</f>
        <v/>
      </c>
    </row>
    <row r="5">
      <c r="A5" s="13" t="inlineStr">
        <is>
          <t>Audit Fees</t>
        </is>
      </c>
      <c r="B5" s="6" t="n">
        <v>2000</v>
      </c>
      <c r="C5" s="6" t="n">
        <v>2000</v>
      </c>
      <c r="D5" s="6" t="n">
        <v>2000</v>
      </c>
      <c r="E5" s="14">
        <f>(D5-C5)/C5*100</f>
        <v/>
      </c>
    </row>
    <row r="6">
      <c r="A6" s="13" t="inlineStr">
        <is>
          <t>Professional Fees</t>
        </is>
      </c>
      <c r="B6" s="6" t="n">
        <v>2000</v>
      </c>
      <c r="C6" s="6" t="n">
        <v>2000</v>
      </c>
      <c r="D6" s="6" t="n">
        <v>2000</v>
      </c>
      <c r="E6" s="14">
        <f>(D6-C6)/C6*100</f>
        <v/>
      </c>
    </row>
    <row r="7">
      <c r="A7" s="13" t="inlineStr">
        <is>
          <t>Legal Expenses</t>
        </is>
      </c>
      <c r="B7" s="9" t="n">
        <v>0</v>
      </c>
      <c r="C7" s="9" t="n">
        <v>0</v>
      </c>
      <c r="D7" s="9" t="n">
        <v>0</v>
      </c>
      <c r="E7" s="9" t="inlineStr"/>
    </row>
    <row r="8">
      <c r="A8" s="13" t="inlineStr">
        <is>
          <t>Contribution &amp; Fees</t>
        </is>
      </c>
      <c r="B8" s="9" t="n">
        <v>0</v>
      </c>
      <c r="C8" s="9" t="n">
        <v>0</v>
      </c>
      <c r="D8" s="9" t="n">
        <v>0</v>
      </c>
      <c r="E8" s="9" t="inlineStr"/>
    </row>
    <row r="9">
      <c r="A9" s="13" t="inlineStr">
        <is>
          <t>Miscellaneous</t>
        </is>
      </c>
      <c r="B9" s="9" t="n">
        <v>0</v>
      </c>
      <c r="C9" s="9" t="n">
        <v>0</v>
      </c>
      <c r="D9" s="9" t="n">
        <v>0</v>
      </c>
      <c r="E9" s="9" t="inlineStr"/>
    </row>
    <row r="10">
      <c r="A10" s="13" t="inlineStr">
        <is>
          <t>Charitable Objects:</t>
        </is>
      </c>
      <c r="B10" s="9" t="inlineStr"/>
      <c r="C10" s="9" t="inlineStr"/>
      <c r="D10" s="9" t="inlineStr"/>
      <c r="E10" s="9" t="inlineStr"/>
    </row>
    <row r="11">
      <c r="A11" s="13" t="inlineStr">
        <is>
          <t xml:space="preserve">  - Religious</t>
        </is>
      </c>
      <c r="B11" s="9" t="n">
        <v>0</v>
      </c>
      <c r="C11" s="9" t="n">
        <v>0</v>
      </c>
      <c r="D11" s="9" t="n">
        <v>0</v>
      </c>
      <c r="E11" s="9" t="inlineStr"/>
    </row>
    <row r="12">
      <c r="A12" s="13" t="inlineStr">
        <is>
          <t xml:space="preserve">  - Educational</t>
        </is>
      </c>
      <c r="B12" s="9" t="n">
        <v>0</v>
      </c>
      <c r="C12" s="9" t="n">
        <v>0</v>
      </c>
      <c r="D12" s="9" t="n">
        <v>0</v>
      </c>
      <c r="E12" s="9" t="inlineStr"/>
    </row>
    <row r="13">
      <c r="A13" s="13" t="inlineStr">
        <is>
          <t xml:space="preserve">  - Medical Relief</t>
        </is>
      </c>
      <c r="B13" s="9" t="n">
        <v>0</v>
      </c>
      <c r="C13" s="9" t="n">
        <v>0</v>
      </c>
      <c r="D13" s="9" t="n">
        <v>0</v>
      </c>
      <c r="E13" s="9" t="inlineStr"/>
    </row>
    <row r="14">
      <c r="A14" s="13" t="inlineStr">
        <is>
          <t xml:space="preserve">  - Other Charitable</t>
        </is>
      </c>
      <c r="B14" s="6" t="n">
        <v>367520</v>
      </c>
      <c r="C14" s="6" t="n">
        <v>131460</v>
      </c>
      <c r="D14" s="6" t="n">
        <v>131460</v>
      </c>
      <c r="E14" s="14">
        <f>(D11-C11)/C11*100</f>
        <v/>
      </c>
    </row>
    <row r="15">
      <c r="A15" s="13" t="inlineStr"/>
      <c r="B15" s="9" t="inlineStr"/>
      <c r="C15" s="9" t="inlineStr"/>
      <c r="D15" s="9" t="inlineStr"/>
      <c r="E15" s="9" t="inlineStr"/>
    </row>
    <row r="16">
      <c r="A16" s="19" t="inlineStr">
        <is>
          <t>TOTAL EXPENDITURE</t>
        </is>
      </c>
      <c r="B16" s="20">
        <f>SUM(B4:B11)</f>
        <v/>
      </c>
      <c r="C16" s="20">
        <f>SUM(C4:C11)</f>
        <v/>
      </c>
      <c r="D16" s="20">
        <f>SUM(D4:D11)</f>
        <v/>
      </c>
      <c r="E16" s="21">
        <f>(D13-C13)/C13*100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 ht="25" customHeight="1">
      <c r="A1" s="11" t="inlineStr">
        <is>
          <t>BALANCE SHEET SUMMARY</t>
        </is>
      </c>
    </row>
    <row r="3">
      <c r="A3" s="22" t="inlineStr">
        <is>
          <t>ASSETS</t>
        </is>
      </c>
    </row>
    <row r="4">
      <c r="A4" s="23" t="inlineStr">
        <is>
          <t>Particulars</t>
        </is>
      </c>
      <c r="B4" s="23" t="inlineStr">
        <is>
          <t>2022-23 (₹)</t>
        </is>
      </c>
      <c r="C4" s="23" t="inlineStr">
        <is>
          <t>2023-24 (₹)</t>
        </is>
      </c>
      <c r="D4" s="23" t="inlineStr">
        <is>
          <t>2024-25 (₹)</t>
        </is>
      </c>
    </row>
    <row r="5">
      <c r="A5" s="13" t="inlineStr">
        <is>
          <t>Cash in Hand</t>
        </is>
      </c>
      <c r="B5" s="6" t="n">
        <v>124850</v>
      </c>
      <c r="C5" s="6" t="n">
        <v>0</v>
      </c>
      <c r="D5" s="6" t="n">
        <v>14513</v>
      </c>
    </row>
    <row r="6">
      <c r="A6" s="13" t="inlineStr">
        <is>
          <t>Bank Balance</t>
        </is>
      </c>
      <c r="B6" s="6" t="n">
        <v>3290</v>
      </c>
      <c r="C6" s="6" t="n">
        <v>0</v>
      </c>
      <c r="D6" s="6" t="n">
        <v>5805</v>
      </c>
    </row>
    <row r="7">
      <c r="A7" s="24" t="inlineStr">
        <is>
          <t>Total Cash &amp; Bank</t>
        </is>
      </c>
      <c r="B7" s="6">
        <f>B5+B6</f>
        <v/>
      </c>
      <c r="C7" s="6">
        <f>C5+C6</f>
        <v/>
      </c>
      <c r="D7" s="6">
        <f>D5+D6</f>
        <v/>
      </c>
    </row>
    <row r="8">
      <c r="A8" s="13" t="inlineStr"/>
      <c r="B8" s="9" t="n"/>
      <c r="C8" s="9" t="n"/>
      <c r="D8" s="9" t="n"/>
    </row>
    <row r="9">
      <c r="A9" s="13" t="inlineStr">
        <is>
          <t>Loans (Secured/Unsecured)</t>
        </is>
      </c>
      <c r="B9" s="6" t="n">
        <v>0</v>
      </c>
      <c r="C9" s="6" t="n">
        <v>35000</v>
      </c>
      <c r="D9" s="6" t="n">
        <v>0</v>
      </c>
    </row>
    <row r="10">
      <c r="A10" s="13" t="inlineStr">
        <is>
          <t>Interest Outstanding</t>
        </is>
      </c>
      <c r="B10" s="6" t="n">
        <v>0</v>
      </c>
      <c r="C10" s="6" t="n">
        <v>97200</v>
      </c>
      <c r="D10" s="6" t="n">
        <v>97200</v>
      </c>
    </row>
    <row r="11">
      <c r="A11" s="13" t="inlineStr">
        <is>
          <t>Sundry Debtors</t>
        </is>
      </c>
      <c r="B11" s="6" t="n">
        <v>0</v>
      </c>
      <c r="C11" s="6" t="n">
        <v>0</v>
      </c>
      <c r="D11" s="6" t="n">
        <v>0</v>
      </c>
    </row>
    <row r="12">
      <c r="A12" s="13" t="inlineStr">
        <is>
          <t>Other Assets</t>
        </is>
      </c>
      <c r="B12" s="6" t="n">
        <v>0</v>
      </c>
      <c r="C12" s="6" t="n">
        <v>0</v>
      </c>
      <c r="D12" s="6" t="n">
        <v>0</v>
      </c>
    </row>
    <row r="13">
      <c r="A13" s="13" t="inlineStr"/>
      <c r="B13" s="9" t="n"/>
      <c r="C13" s="9" t="n"/>
      <c r="D13" s="9" t="n"/>
    </row>
    <row r="14">
      <c r="A14" s="24" t="inlineStr">
        <is>
          <t>TOTAL ASSETS</t>
        </is>
      </c>
      <c r="B14" s="25">
        <f>B7+B9+B10+B11+B12</f>
        <v/>
      </c>
      <c r="C14" s="25">
        <f>C7+C9+C10+C11+C12</f>
        <v/>
      </c>
      <c r="D14" s="25">
        <f>D7+D9+D10+D11+D12</f>
        <v/>
      </c>
    </row>
    <row r="17">
      <c r="A17" s="26" t="inlineStr">
        <is>
          <t>LIABILITIES &amp; FUNDS</t>
        </is>
      </c>
    </row>
    <row r="18">
      <c r="A18" s="27" t="inlineStr">
        <is>
          <t>Particulars</t>
        </is>
      </c>
      <c r="B18" s="27" t="inlineStr">
        <is>
          <t>2022-23 (₹)</t>
        </is>
      </c>
      <c r="C18" s="27" t="inlineStr">
        <is>
          <t>2023-24 (₹)</t>
        </is>
      </c>
      <c r="D18" s="27" t="inlineStr">
        <is>
          <t>2024-25 (₹)</t>
        </is>
      </c>
    </row>
    <row r="19">
      <c r="A19" s="13" t="inlineStr">
        <is>
          <t>Trust Funds/Corpus</t>
        </is>
      </c>
      <c r="B19" s="6" t="n">
        <v>0</v>
      </c>
      <c r="C19" s="6" t="n">
        <v>0</v>
      </c>
      <c r="D19" s="6" t="n">
        <v>0</v>
      </c>
    </row>
    <row r="20">
      <c r="A20" s="13" t="inlineStr">
        <is>
          <t>Other Earmarked Funds</t>
        </is>
      </c>
      <c r="B20" s="6" t="n">
        <v>0</v>
      </c>
      <c r="C20" s="6" t="n">
        <v>0</v>
      </c>
      <c r="D20" s="6" t="n">
        <v>0</v>
      </c>
    </row>
    <row r="21">
      <c r="A21" s="13" t="inlineStr">
        <is>
          <t>Loans</t>
        </is>
      </c>
      <c r="B21" s="6" t="n">
        <v>0</v>
      </c>
      <c r="C21" s="6" t="n">
        <v>0</v>
      </c>
      <c r="D21" s="6" t="n">
        <v>0</v>
      </c>
    </row>
    <row r="22">
      <c r="A22" s="13" t="inlineStr"/>
      <c r="B22" s="9" t="n"/>
      <c r="C22" s="9" t="n"/>
      <c r="D22" s="9" t="n"/>
    </row>
    <row r="23">
      <c r="A23" s="13" t="inlineStr">
        <is>
          <t>Income &amp; Expenditure A/c:</t>
        </is>
      </c>
      <c r="B23" s="9" t="n"/>
      <c r="C23" s="9" t="n"/>
      <c r="D23" s="9" t="n"/>
    </row>
    <row r="24">
      <c r="A24" s="13" t="inlineStr">
        <is>
          <t xml:space="preserve">  Opening Balance</t>
        </is>
      </c>
      <c r="B24" s="6" t="n">
        <v>105078</v>
      </c>
      <c r="C24" s="6" t="n">
        <v>100078</v>
      </c>
      <c r="D24" s="6" t="n">
        <v>105078</v>
      </c>
    </row>
    <row r="25">
      <c r="A25" s="13" t="inlineStr">
        <is>
          <t xml:space="preserve">  Add: Surplus</t>
        </is>
      </c>
      <c r="B25" s="6" t="n">
        <v>47440</v>
      </c>
      <c r="C25" s="6" t="n">
        <v>47440</v>
      </c>
      <c r="D25" s="6" t="n">
        <v>47440</v>
      </c>
    </row>
    <row r="26">
      <c r="A26" s="13" t="inlineStr">
        <is>
          <t xml:space="preserve">  Less: Deficit</t>
        </is>
      </c>
      <c r="B26" s="6" t="n">
        <v>0</v>
      </c>
      <c r="C26" s="6" t="n">
        <v>0</v>
      </c>
      <c r="D26" s="6" t="n">
        <v>0</v>
      </c>
    </row>
    <row r="27">
      <c r="A27" s="13" t="inlineStr">
        <is>
          <t xml:space="preserve">  Closing Balance</t>
        </is>
      </c>
      <c r="B27" s="6">
        <f>B24+B25-B26</f>
        <v/>
      </c>
      <c r="C27" s="6">
        <f>C24+C25-C26</f>
        <v/>
      </c>
      <c r="D27" s="6">
        <f>D24+D25-D26</f>
        <v/>
      </c>
    </row>
    <row r="28">
      <c r="A28" s="13" t="inlineStr"/>
      <c r="B28" s="9" t="n"/>
      <c r="C28" s="9" t="n"/>
      <c r="D28" s="9" t="n"/>
    </row>
    <row r="29">
      <c r="A29" s="28" t="inlineStr">
        <is>
          <t>TOTAL LIABILITIES</t>
        </is>
      </c>
      <c r="B29" s="29">
        <f>B23+B24+B25+B28</f>
        <v/>
      </c>
      <c r="C29" s="29">
        <f>C23+C24+C25+C28</f>
        <v/>
      </c>
      <c r="D29" s="29">
        <f>D23+D24+D25+D28</f>
        <v/>
      </c>
    </row>
  </sheetData>
  <mergeCells count="3">
    <mergeCell ref="A1:D1"/>
    <mergeCell ref="A17:D17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2026-02-07T19:23:29Z</dcterms:created>
  <dcterms:modified xmlns:dcterms="http://purl.org/dc/terms/" xmlns:xsi="http://www.w3.org/2001/XMLSchema-instance" xsi:type="dcterms:W3CDTF">2026-02-07T19:23:29Z</dcterms:modified>
</cp:coreProperties>
</file>